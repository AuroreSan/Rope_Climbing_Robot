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iMeche Design 2026\Github files\"/>
    </mc:Choice>
  </mc:AlternateContent>
  <xr:revisionPtr revIDLastSave="0" documentId="8_{19B6180E-1AEE-43C8-AAA3-CB58C715359D}" xr6:coauthVersionLast="47" xr6:coauthVersionMax="47" xr10:uidLastSave="{00000000-0000-0000-0000-000000000000}"/>
  <bookViews>
    <workbookView xWindow="5355" yWindow="2100" windowWidth="19575" windowHeight="13965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1" l="1"/>
  <c r="H15" i="1"/>
  <c r="G13" i="1"/>
  <c r="H13" i="1" s="1"/>
  <c r="G12" i="1"/>
  <c r="H12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H14" i="1" l="1"/>
</calcChain>
</file>

<file path=xl/sharedStrings.xml><?xml version="1.0" encoding="utf-8"?>
<sst xmlns="http://schemas.openxmlformats.org/spreadsheetml/2006/main" count="42" uniqueCount="39">
  <si>
    <t>Bill of Materials – Robot Project (UK Suppliers)</t>
  </si>
  <si>
    <t>Item</t>
  </si>
  <si>
    <t>Qty Used</t>
  </si>
  <si>
    <t>Part Name</t>
  </si>
  <si>
    <t>Description</t>
  </si>
  <si>
    <t>Pack Size</t>
  </si>
  <si>
    <t>Pack Price (£)</t>
  </si>
  <si>
    <t>Unit Cost (£)</t>
  </si>
  <si>
    <t>Line Total (£)</t>
  </si>
  <si>
    <t>Supplier / Link</t>
  </si>
  <si>
    <t>DC Gear Motor 12V 200 RPM</t>
  </si>
  <si>
    <t>sourcing map JGB37-520 micro gear box DC motor, 12V, 200 RPM, D-shaped output shaft, metal gearbox</t>
  </si>
  <si>
    <t>Amazon UK (sourcing map)</t>
  </si>
  <si>
    <t>BTS7960 H-Bridge Motor Driver</t>
  </si>
  <si>
    <t>Dual BTS7960 43A H-bridge motor driver module, 6–27V input, PWM up to 25kHz, current sense and thermal protection</t>
  </si>
  <si>
    <t>Amazon UK (Fasizi)</t>
  </si>
  <si>
    <t>Red 5mm LED</t>
  </si>
  <si>
    <t>Ultra-bright 5mm red LED, ~2V Vf at 20mA. Sold in pack of 10 – cost shown is for 1 used</t>
  </si>
  <si>
    <t>The Pi Hut</t>
  </si>
  <si>
    <t>Green 5mm LED</t>
  </si>
  <si>
    <t>Ultra-bright 5mm green LED, ~3.2V Vf at 20mA. Sold in pack of 10 – cost shown is for 1 used</t>
  </si>
  <si>
    <t>Passive Buzzer 5V</t>
  </si>
  <si>
    <t>Breadboard-friendly 5V passive piezo buzzer, 4–8V rated, 30mA – tone() compatible with Arduino</t>
  </si>
  <si>
    <t>ELEGOO Pre-soldered Nano (USB-C)</t>
  </si>
  <si>
    <t>ELEGOO Nano V3 board with pre-soldered headers, ATmega328P + CH340, USB-C, Arduino IDE compatible. Sold in 3-pack – cost shown is for 1 used</t>
  </si>
  <si>
    <t>Amazon UK (ELEGOO)</t>
  </si>
  <si>
    <t>12mm Tactile Push Button</t>
  </si>
  <si>
    <t>12mm square momentary tactile switch, 6mm tall, breadboard/PCB compatible. Sold in pack of 10 – cost shown is for 2 used</t>
  </si>
  <si>
    <t>12V 2400 mAh Ni-MH Battery (KET 2P)</t>
  </si>
  <si>
    <t>MXJFYY 12V 2400mAh Ni-MH rechargeable battery pack with KET 2P connector and USB charging cable – powers motor + electronics from a single 12V rail</t>
  </si>
  <si>
    <t>Amazon UK (MXJFYY)</t>
  </si>
  <si>
    <t>Total cost of parts used:</t>
  </si>
  <si>
    <t>Total if buying full packs:</t>
  </si>
  <si>
    <t>Amazon UK</t>
  </si>
  <si>
    <t>25pcs Fast Blow Glass Fuses 6 * 30mm 250V 10A Quick Tube Fuse Assortment Kit</t>
  </si>
  <si>
    <t>Glass Tube Fuse</t>
  </si>
  <si>
    <t xml:space="preserve">Amazon UK </t>
  </si>
  <si>
    <t xml:space="preserve">ToF Laser Sensor </t>
  </si>
  <si>
    <t>VL53L0X Time-of-Flight (ToF) Laser Ranging Sensor Breakout 940nm VL53L0X V2 Laser Distance Module I2C IIC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</si>
</sst>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u/>
      <sz val="10"/>
      <color rgb="FF0000FF"/>
      <name val="Arial"/>
      <charset val="1"/>
    </font>
    <font>
      <b/>
      <i/>
      <sz val="11"/>
      <name val="Arial"/>
      <charset val="1"/>
    </font>
    <font>
      <u/>
      <sz val="11"/>
      <color theme="10"/>
      <name val="Calibri"/>
      <family val="2"/>
      <charset val="1"/>
    </font>
    <font>
      <sz val="10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right"/>
    </xf>
    <xf numFmtId="164" fontId="2" fillId="0" borderId="1" xfId="0" applyNumberFormat="1" applyFont="1" applyBorder="1"/>
    <xf numFmtId="0" fontId="5" fillId="0" borderId="4" xfId="0" applyFont="1" applyBorder="1" applyAlignment="1">
      <alignment horizontal="right"/>
    </xf>
    <xf numFmtId="164" fontId="5" fillId="0" borderId="5" xfId="0" applyNumberFormat="1" applyFont="1" applyBorder="1"/>
    <xf numFmtId="0" fontId="6" fillId="0" borderId="2" xfId="1" applyBorder="1" applyAlignment="1">
      <alignment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uk/MXJFYY-2400mAh-Connector-Construction-Climbing/dp/B0DJVS6R32" TargetMode="External"/><Relationship Id="rId3" Type="http://schemas.openxmlformats.org/officeDocument/2006/relationships/hyperlink" Target="https://thepihut.com/products/ultra-bright-led-5mm-red-10-pack" TargetMode="External"/><Relationship Id="rId7" Type="http://schemas.openxmlformats.org/officeDocument/2006/relationships/hyperlink" Target="https://thepihut.com/products/tactile-switch-buttons-12mm-square-6mm-tall-x-10-pack" TargetMode="External"/><Relationship Id="rId2" Type="http://schemas.openxmlformats.org/officeDocument/2006/relationships/hyperlink" Target="https://www.amazon.co.uk/Fasizi-BTS7960-Power-Driver-Module/dp/B09Z2FBCJ3" TargetMode="External"/><Relationship Id="rId1" Type="http://schemas.openxmlformats.org/officeDocument/2006/relationships/hyperlink" Target="https://www.amazon.co.uk/dp/B0FSXFKT89" TargetMode="External"/><Relationship Id="rId6" Type="http://schemas.openxmlformats.org/officeDocument/2006/relationships/hyperlink" Target="https://www.amazon.co.uk/ELEGOO-Pre-soldered-ATmega-Compatible-Arduino/dp/B0D7Q6BGW8" TargetMode="External"/><Relationship Id="rId5" Type="http://schemas.openxmlformats.org/officeDocument/2006/relationships/hyperlink" Target="https://thepihut.com/products/buzzer-5v-breadboard-friendly" TargetMode="External"/><Relationship Id="rId10" Type="http://schemas.openxmlformats.org/officeDocument/2006/relationships/hyperlink" Target="https://www.amazon.co.uk/iHaospace-VL53L0X-Flight-Breakout-Distance/dp/B07DYM28VR/ref=sr_1_11?crid=1Q5J6WXU8ECZZ&amp;dib=eyJ2IjoiMSJ9.g21hle-EvlFXeei7iQaETkWrpNCbGUIA6zSN1Ot-mRmr0WN13LawBy6a59aSMAwaPLs--KDjIIK_LqbVCxZ1x_lvvdeXnAnrRPi7spb1mnaqsmg8fQMVY_aUIjoykUB76ftbMfrxgX0doevZaknYRMd6Pw-azTFKc7CGJ3oA13rVeQy24grO7KlPeti--vg4Djg6Hai8rYFPier70bLcT6S6U5kr3MnyL3zCK0YXd75SldfHAiwrmljFT4B4vI1WwosZMaUQhlkdr7XA1ymwt3-ap6MVk4TnMlHjRoMkZko.mj23oygB8JcHSo2lsqMd1nbNO2j3aUxwtMtczoio3mY&amp;dib_tag=se&amp;keywords=time+of+flight+sensor&amp;qid=1778162792&amp;s=industrial&amp;sprefix=time+of+flight+sensor%2Cindustrial%2C95&amp;sr=1-11" TargetMode="External"/><Relationship Id="rId4" Type="http://schemas.openxmlformats.org/officeDocument/2006/relationships/hyperlink" Target="https://thepihut.com/products/ultra-bright-led-5mm-green-10-pack" TargetMode="External"/><Relationship Id="rId9" Type="http://schemas.openxmlformats.org/officeDocument/2006/relationships/hyperlink" Target="https://www.amazon.co.uk/Innfeeltech-25pcs-Glass-Fuses-Assortment/dp/B0CQL13XSP/ref=sxin_14_pa_sp_search_thematic_sspa?content-id=amzn1.sym.04266d1d-c858-4d7f-a096-42a932fea0ea%3Aamzn1.sym.04266d1d-c858-4d7f-a096-42a932fea0ea&amp;cv_ct_cx=10A%2BFuse&amp;keywords=10A%2BFuse&amp;pd_rd_i=B0CQL13XSP&amp;pd_rd_r=fafbf18b-13e9-4f6b-aa12-b137a3084387&amp;pd_rd_w=iHAyu&amp;pd_rd_wg=CIAE4&amp;pf_rd_p=04266d1d-c858-4d7f-a096-42a932fea0ea&amp;pf_rd_r=53ME34DYVK8VWWWKDSQP&amp;qid=1778161306&amp;sbo=RZvfv%2F%2FHxDF%2BO5021pAnSA%3D%3D&amp;sr=1-51-6b4e6f58-b7c8-49cf-b378-c33ed82e3b01-spons&amp;aref=mBG4Ghb9UU&amp;sp_csd=d2lkZ2V0TmFtZT1zcF9zZWFyY2hfdGhlbWF0aWM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Normal="100" workbookViewId="0">
      <pane ySplit="3" topLeftCell="A6" activePane="bottomLeft" state="frozen"/>
      <selection pane="bottomLeft" activeCell="I16" sqref="I16"/>
    </sheetView>
  </sheetViews>
  <sheetFormatPr defaultColWidth="8.7109375" defaultRowHeight="15" x14ac:dyDescent="0.25"/>
  <cols>
    <col min="1" max="1" width="5" customWidth="1"/>
    <col min="2" max="2" width="8" customWidth="1"/>
    <col min="3" max="3" width="28" customWidth="1"/>
    <col min="4" max="4" width="48" customWidth="1"/>
    <col min="5" max="5" width="8" customWidth="1"/>
    <col min="6" max="6" width="12" customWidth="1"/>
    <col min="7" max="8" width="11" customWidth="1"/>
    <col min="9" max="9" width="28" customWidth="1"/>
  </cols>
  <sheetData>
    <row r="1" spans="1:9" ht="18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3" spans="1:9" ht="31.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39.950000000000003" customHeight="1" x14ac:dyDescent="0.25">
      <c r="A4" s="2">
        <v>1</v>
      </c>
      <c r="B4" s="2">
        <v>1</v>
      </c>
      <c r="C4" s="2" t="s">
        <v>10</v>
      </c>
      <c r="D4" s="2" t="s">
        <v>11</v>
      </c>
      <c r="E4" s="2">
        <v>1</v>
      </c>
      <c r="F4" s="3">
        <v>16</v>
      </c>
      <c r="G4" s="3">
        <f t="shared" ref="G4:G13" si="0">F4/E4</f>
        <v>16</v>
      </c>
      <c r="H4" s="3">
        <f t="shared" ref="H4:H13" si="1">B4*G4</f>
        <v>16</v>
      </c>
      <c r="I4" s="4" t="s">
        <v>12</v>
      </c>
    </row>
    <row r="5" spans="1:9" ht="39.950000000000003" customHeight="1" x14ac:dyDescent="0.25">
      <c r="A5" s="2">
        <v>2</v>
      </c>
      <c r="B5" s="2">
        <v>1</v>
      </c>
      <c r="C5" s="2" t="s">
        <v>13</v>
      </c>
      <c r="D5" s="2" t="s">
        <v>14</v>
      </c>
      <c r="E5" s="2">
        <v>1</v>
      </c>
      <c r="F5" s="3">
        <v>7.99</v>
      </c>
      <c r="G5" s="3">
        <f t="shared" si="0"/>
        <v>7.99</v>
      </c>
      <c r="H5" s="3">
        <f t="shared" si="1"/>
        <v>7.99</v>
      </c>
      <c r="I5" s="4" t="s">
        <v>15</v>
      </c>
    </row>
    <row r="6" spans="1:9" ht="39.950000000000003" customHeight="1" x14ac:dyDescent="0.25">
      <c r="A6" s="2">
        <v>3</v>
      </c>
      <c r="B6" s="2">
        <v>1</v>
      </c>
      <c r="C6" s="2" t="s">
        <v>16</v>
      </c>
      <c r="D6" s="2" t="s">
        <v>17</v>
      </c>
      <c r="E6" s="2">
        <v>10</v>
      </c>
      <c r="F6" s="3">
        <v>2.5</v>
      </c>
      <c r="G6" s="3">
        <f t="shared" si="0"/>
        <v>0.25</v>
      </c>
      <c r="H6" s="3">
        <f t="shared" si="1"/>
        <v>0.25</v>
      </c>
      <c r="I6" s="4" t="s">
        <v>18</v>
      </c>
    </row>
    <row r="7" spans="1:9" ht="39.950000000000003" customHeight="1" x14ac:dyDescent="0.25">
      <c r="A7" s="2">
        <v>4</v>
      </c>
      <c r="B7" s="2">
        <v>1</v>
      </c>
      <c r="C7" s="2" t="s">
        <v>19</v>
      </c>
      <c r="D7" s="2" t="s">
        <v>20</v>
      </c>
      <c r="E7" s="2">
        <v>10</v>
      </c>
      <c r="F7" s="3">
        <v>2.5</v>
      </c>
      <c r="G7" s="3">
        <f t="shared" si="0"/>
        <v>0.25</v>
      </c>
      <c r="H7" s="3">
        <f t="shared" si="1"/>
        <v>0.25</v>
      </c>
      <c r="I7" s="4" t="s">
        <v>18</v>
      </c>
    </row>
    <row r="8" spans="1:9" ht="39.950000000000003" customHeight="1" x14ac:dyDescent="0.25">
      <c r="A8" s="2">
        <v>5</v>
      </c>
      <c r="B8" s="2">
        <v>1</v>
      </c>
      <c r="C8" s="2" t="s">
        <v>21</v>
      </c>
      <c r="D8" s="2" t="s">
        <v>22</v>
      </c>
      <c r="E8" s="2">
        <v>1</v>
      </c>
      <c r="F8" s="3">
        <v>3</v>
      </c>
      <c r="G8" s="3">
        <f t="shared" si="0"/>
        <v>3</v>
      </c>
      <c r="H8" s="3">
        <f t="shared" si="1"/>
        <v>3</v>
      </c>
      <c r="I8" s="4" t="s">
        <v>18</v>
      </c>
    </row>
    <row r="9" spans="1:9" ht="39.950000000000003" customHeight="1" x14ac:dyDescent="0.25">
      <c r="A9" s="2">
        <v>6</v>
      </c>
      <c r="B9" s="2">
        <v>1</v>
      </c>
      <c r="C9" s="2" t="s">
        <v>23</v>
      </c>
      <c r="D9" s="2" t="s">
        <v>24</v>
      </c>
      <c r="E9" s="2">
        <v>3</v>
      </c>
      <c r="F9" s="3">
        <v>17.989999999999998</v>
      </c>
      <c r="G9" s="3">
        <f t="shared" si="0"/>
        <v>5.9966666666666661</v>
      </c>
      <c r="H9" s="3">
        <f t="shared" si="1"/>
        <v>5.9966666666666661</v>
      </c>
      <c r="I9" s="4" t="s">
        <v>25</v>
      </c>
    </row>
    <row r="10" spans="1:9" ht="39.950000000000003" customHeight="1" x14ac:dyDescent="0.25">
      <c r="A10" s="2">
        <v>7</v>
      </c>
      <c r="B10" s="2">
        <v>1</v>
      </c>
      <c r="C10" s="2" t="s">
        <v>35</v>
      </c>
      <c r="D10" s="2" t="s">
        <v>34</v>
      </c>
      <c r="E10" s="2">
        <v>25</v>
      </c>
      <c r="F10" s="3">
        <v>5.39</v>
      </c>
      <c r="G10" s="3">
        <f t="shared" si="0"/>
        <v>0.21559999999999999</v>
      </c>
      <c r="H10" s="3">
        <f t="shared" si="1"/>
        <v>0.21559999999999999</v>
      </c>
      <c r="I10" s="9" t="s">
        <v>33</v>
      </c>
    </row>
    <row r="11" spans="1:9" ht="39.950000000000003" customHeight="1" x14ac:dyDescent="0.25">
      <c r="A11" s="2">
        <v>8</v>
      </c>
      <c r="B11" s="2"/>
      <c r="C11" s="2" t="s">
        <v>37</v>
      </c>
      <c r="D11" s="11" t="s">
        <v>38</v>
      </c>
      <c r="E11" s="2">
        <v>1</v>
      </c>
      <c r="F11" s="3">
        <v>3.99</v>
      </c>
      <c r="G11" s="3">
        <f t="shared" si="0"/>
        <v>3.99</v>
      </c>
      <c r="H11" s="3">
        <v>3.99</v>
      </c>
      <c r="I11" s="9" t="s">
        <v>36</v>
      </c>
    </row>
    <row r="12" spans="1:9" ht="39.950000000000003" customHeight="1" x14ac:dyDescent="0.25">
      <c r="A12" s="2">
        <v>9</v>
      </c>
      <c r="B12" s="2">
        <v>2</v>
      </c>
      <c r="C12" s="2" t="s">
        <v>26</v>
      </c>
      <c r="D12" s="2" t="s">
        <v>27</v>
      </c>
      <c r="E12" s="2">
        <v>10</v>
      </c>
      <c r="F12" s="3">
        <v>2.5</v>
      </c>
      <c r="G12" s="3">
        <f t="shared" si="0"/>
        <v>0.25</v>
      </c>
      <c r="H12" s="3">
        <f t="shared" si="1"/>
        <v>0.5</v>
      </c>
      <c r="I12" s="4" t="s">
        <v>18</v>
      </c>
    </row>
    <row r="13" spans="1:9" ht="39.950000000000003" customHeight="1" x14ac:dyDescent="0.25">
      <c r="A13" s="2">
        <v>10</v>
      </c>
      <c r="B13" s="2">
        <v>1</v>
      </c>
      <c r="C13" s="2" t="s">
        <v>28</v>
      </c>
      <c r="D13" s="2" t="s">
        <v>29</v>
      </c>
      <c r="E13" s="2">
        <v>1</v>
      </c>
      <c r="F13" s="3">
        <v>18.989999999999998</v>
      </c>
      <c r="G13" s="3">
        <f t="shared" si="0"/>
        <v>18.989999999999998</v>
      </c>
      <c r="H13" s="3">
        <f t="shared" si="1"/>
        <v>18.989999999999998</v>
      </c>
      <c r="I13" s="4" t="s">
        <v>30</v>
      </c>
    </row>
    <row r="14" spans="1:9" x14ac:dyDescent="0.25">
      <c r="G14" s="5" t="s">
        <v>31</v>
      </c>
      <c r="H14" s="6">
        <f>SUM(H4:H13)</f>
        <v>57.182266666666663</v>
      </c>
    </row>
    <row r="15" spans="1:9" x14ac:dyDescent="0.25">
      <c r="G15" s="7" t="s">
        <v>32</v>
      </c>
      <c r="H15" s="8">
        <f>SUM(F4:F13)</f>
        <v>80.850000000000009</v>
      </c>
    </row>
  </sheetData>
  <mergeCells count="1">
    <mergeCell ref="A1:I1"/>
  </mergeCells>
  <hyperlinks>
    <hyperlink ref="I4" r:id="rId1" xr:uid="{00000000-0004-0000-0000-000000000000}"/>
    <hyperlink ref="I5" r:id="rId2" xr:uid="{00000000-0004-0000-0000-000001000000}"/>
    <hyperlink ref="I6" r:id="rId3" xr:uid="{00000000-0004-0000-0000-000002000000}"/>
    <hyperlink ref="I7" r:id="rId4" xr:uid="{00000000-0004-0000-0000-000003000000}"/>
    <hyperlink ref="I8" r:id="rId5" xr:uid="{00000000-0004-0000-0000-000004000000}"/>
    <hyperlink ref="I9" r:id="rId6" xr:uid="{00000000-0004-0000-0000-000005000000}"/>
    <hyperlink ref="I12" r:id="rId7" xr:uid="{00000000-0004-0000-0000-000007000000}"/>
    <hyperlink ref="I13" r:id="rId8" xr:uid="{00000000-0004-0000-0000-000008000000}"/>
    <hyperlink ref="I10" r:id="rId9" xr:uid="{00000000-0004-0000-0000-000006000000}"/>
    <hyperlink ref="I11" r:id="rId10" xr:uid="{BDF98D74-5F27-4DB4-936D-7FECA53C889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Hnin San</cp:lastModifiedBy>
  <cp:revision>0</cp:revision>
  <dcterms:created xsi:type="dcterms:W3CDTF">2026-05-07T13:37:13Z</dcterms:created>
  <dcterms:modified xsi:type="dcterms:W3CDTF">2026-05-07T14:08:48Z</dcterms:modified>
  <dc:language>en-US</dc:language>
</cp:coreProperties>
</file>